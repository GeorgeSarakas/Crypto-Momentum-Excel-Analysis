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ervice123\Desktop\Crypto_Volume_Momentum_Project\"/>
    </mc:Choice>
  </mc:AlternateContent>
  <xr:revisionPtr revIDLastSave="0" documentId="8_{D8755E58-3D0C-488A-99BC-B14FE1E25823}" xr6:coauthVersionLast="47" xr6:coauthVersionMax="47" xr10:uidLastSave="{00000000-0000-0000-0000-000000000000}"/>
  <bookViews>
    <workbookView xWindow="-108" yWindow="-108" windowWidth="23256" windowHeight="12456" xr2:uid="{2CA9168A-FC74-4724-B1D0-C9F2479AC844}"/>
  </bookViews>
  <sheets>
    <sheet name="Sheet3" sheetId="3" r:id="rId1"/>
    <sheet name="Sheet1" sheetId="1" r:id="rId2"/>
  </sheets>
  <definedNames>
    <definedName name="Slicer_Category">#N/A</definedName>
    <definedName name="Slicer_Ticker">#N/A</definedName>
  </definedNames>
  <calcPr calcId="181029"/>
  <pivotCaches>
    <pivotCache cacheId="0" r:id="rId3"/>
  </pivotCaches>
  <extLst>
    <ext xmlns:x14="http://schemas.microsoft.com/office/spreadsheetml/2009/9/main" uri="{876F7934-8845-4945-9796-88D515C7AA90}">
      <x14:pivotCaches>
        <pivotCache cacheId="1"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crypto_data_ddf12036-66fc-45b1-9fe4-54cd55d00af6" name="raw_crypto_data" connection="Query - raw_crypto_data"/>
          <x15:modelTable id="Calendar" name="Calendar" connection="Connection"/>
        </x15:modelTables>
        <x15:modelRelationships>
          <x15:modelRelationship fromTable="raw_crypto_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478F03-EF85-451F-B34C-20655C4B256F}" name="Connection" type="104" refreshedVersion="0" background="1">
    <extLst>
      <ext xmlns:x15="http://schemas.microsoft.com/office/spreadsheetml/2010/11/main" uri="{DE250136-89BD-433C-8126-D09CA5730AF9}">
        <x15:connection id="Calendar"/>
      </ext>
    </extLst>
  </connection>
  <connection id="2" xr16:uid="{69AB3D7F-78C3-40D1-BE17-5747190F6470}" name="Query - raw_crypto_data" description="Connection to the 'raw_crypto_data' query in the workbook." type="100" refreshedVersion="8" minRefreshableVersion="5">
    <extLst>
      <ext xmlns:x15="http://schemas.microsoft.com/office/spreadsheetml/2010/11/main" uri="{DE250136-89BD-433C-8126-D09CA5730AF9}">
        <x15:connection id="5898250c-3df6-4857-949d-912d7f10feb5"/>
      </ext>
    </extLst>
  </connection>
  <connection id="3" xr16:uid="{F104D20B-3114-46D4-9386-BE3F722318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<sst xmlns="http://schemas.openxmlformats.org/spreadsheetml/2006/main" count="51" uniqueCount="16">
  <si>
    <t>Date</t>
  </si>
  <si>
    <t>Ticker</t>
  </si>
  <si>
    <t>Category</t>
  </si>
  <si>
    <t>Close_Price</t>
  </si>
  <si>
    <t>Volume</t>
  </si>
  <si>
    <t>Market_Cap</t>
  </si>
  <si>
    <t>BTC</t>
  </si>
  <si>
    <t>Layer 1</t>
  </si>
  <si>
    <t>SOL</t>
  </si>
  <si>
    <t>PEPE</t>
  </si>
  <si>
    <t>Meme Coin</t>
  </si>
  <si>
    <t>DOGE</t>
  </si>
  <si>
    <t>Row Labels</t>
  </si>
  <si>
    <t>Grand Total</t>
  </si>
  <si>
    <t>Volume_Spike_Alert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</si>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</sst>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
  </numFmts>
  <fonts count="3" x14ac:knownFonts="1">
    <font>
      <sz val="11"/>
      <color theme="1"/>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16">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164" fontId="0" fillId="0" borderId="0" xfId="0" applyNumberFormat="1"/>
    <xf numFmtId="14" fontId="1" fillId="0" borderId="2" xfId="0" applyNumberFormat="1" applyFont="1" applyBorder="1" applyAlignment="1">
      <alignment horizontal="left" vertical="center" wrapText="1" indent="1" readingOrder="1"/>
    </xf>
    <xf numFmtId="164" fontId="1" fillId="0" borderId="3" xfId="0" applyNumberFormat="1" applyFont="1" applyBorder="1" applyAlignment="1">
      <alignment horizontal="left" vertical="center" wrapText="1" indent="1" readingOrder="1"/>
    </xf>
    <xf numFmtId="0" fontId="2" fillId="0" borderId="4" xfId="0" applyFont="1" applyBorder="1" applyAlignment="1">
      <alignment horizontal="left" vertical="center" wrapText="1" indent="1" readingOrder="1"/>
    </xf>
    <xf numFmtId="0" fontId="2" fillId="0" borderId="5" xfId="0" applyFont="1" applyBorder="1" applyAlignment="1">
      <alignment horizontal="left" vertical="center" wrapText="1" indent="1" readingOrder="1"/>
    </xf>
    <xf numFmtId="164" fontId="2" fillId="0" borderId="6" xfId="0" applyNumberFormat="1" applyFont="1" applyBorder="1" applyAlignment="1">
      <alignment horizontal="left" vertical="center" wrapText="1" indent="1" readingOrder="1"/>
    </xf>
    <xf numFmtId="14" fontId="1" fillId="0" borderId="7" xfId="0" applyNumberFormat="1" applyFont="1" applyBorder="1" applyAlignment="1">
      <alignment horizontal="left" vertical="center" wrapText="1" indent="1" readingOrder="1"/>
    </xf>
    <xf numFmtId="0" fontId="1" fillId="0" borderId="8" xfId="0" applyFont="1" applyBorder="1" applyAlignment="1">
      <alignment horizontal="left" vertical="center" wrapText="1" indent="1" readingOrder="1"/>
    </xf>
    <xf numFmtId="164" fontId="1" fillId="0" borderId="9" xfId="0" applyNumberFormat="1" applyFont="1" applyBorder="1" applyAlignment="1">
      <alignment horizontal="left" vertical="center" wrapText="1" indent="1" readingOrder="1"/>
    </xf>
    <xf numFmtId="0" fontId="0" fillId="0" borderId="0" xfId="0" pivotButton="1"/>
    <xf numFmtId="14" fontId="0" fillId="0" borderId="0" xfId="0" applyNumberFormat="1" applyAlignment="1">
      <alignment horizontal="left"/>
    </xf>
    <xf numFmtId="0" fontId="0" fillId="0" borderId="0" xfId="0" applyAlignment="1">
      <alignment horizontal="left"/>
    </xf>
    <xf numFmtId="165" fontId="0" fillId="0" borderId="0" xfId="0" applyNumberFormat="1"/>
  </cellXfs>
  <cellStyles count="1">
    <cellStyle name="Normal" xfId="0" builtinId="0"/>
  </cellStyles>
  <dxfs count="12">
    <dxf>
      <font>
        <color rgb="FF9C0006"/>
      </font>
      <fill>
        <patternFill>
          <bgColor rgb="FFFFC7CE"/>
        </patternFill>
      </fill>
    </dxf>
    <dxf>
      <font>
        <b val="0"/>
        <i val="0"/>
        <strike val="0"/>
        <condense val="0"/>
        <extend val="0"/>
        <outline val="0"/>
        <shadow val="0"/>
        <u val="none"/>
        <vertAlign val="baseline"/>
        <sz val="11"/>
        <color rgb="FF1F1F1F"/>
        <name val="Arial"/>
        <family val="2"/>
        <scheme val="none"/>
      </font>
      <numFmt numFmtId="164" formatCode="&quot;$&quot;#,##0.00"/>
      <alignment horizontal="left" vertical="center" textRotation="0" wrapText="1" indent="1"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19" formatCode="m/d/yyyy"/>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[Crypto_Momentum_Project.xlsx]Sheet3!PivotTable1</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1308022258489"/>
          <c:y val="7.0225218357772609E-2"/>
          <c:w val="0.71675293353300951"/>
          <c:h val="0.82845851301062379"/>
        </c:manualLayout>
      </c:layout>
      <c:lineChart>
        <c:grouping val="standard"/>
        <c:varyColors val="0"/>
        <c:ser>
          <c:idx val="0"/>
          <c:order val="0"/>
          <c:tx>
            <c:strRef>
              <c:f>Sheet3!$B$3:$B$4</c:f>
              <c:strCache>
                <c:ptCount val="1"/>
                <c:pt idx="0">
                  <c:v>BTC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5/1/2026</c:v>
                </c:pt>
                <c:pt idx="1">
                  <c:v>5/2/2026</c:v>
                </c:pt>
                <c:pt idx="2">
                  <c:v>5/3/2026</c:v>
                </c:pt>
                <c:pt idx="3">
                  <c:v>5/4/2026</c:v>
                </c:pt>
                <c:pt idx="4">
                  <c:v>5/5/2026</c:v>
                </c:pt>
              </c:strCache>
            </c:strRef>
          </c:cat>
          <c:val>
            <c:numRef>
              <c:f>Sheet3!$B$5:$B$10</c:f>
              <c:numCache>
                <c:formatCode>0%;\-0%;0%</c:formatCode>
                <c:ptCount val="5"/>
                <c:pt idx="0">
                  <c:v>0</c:v>
                </c:pt>
                <c:pt idx="1">
                  <c:v>0.96</c:v>
                </c:pt>
                <c:pt idx="2">
                  <c:v>1.0612244897959184</c:v>
                </c:pt>
                <c:pt idx="3">
                  <c:v>2.2000000000000002</c:v>
                </c:pt>
                <c:pt idx="4">
                  <c:v>0.8</c:v>
                </c:pt>
              </c:numCache>
            </c:numRef>
          </c:val>
          <c:smooth val="0"/>
          <c:extLst>
            <c:ext xmlns:c16="http://schemas.microsoft.com/office/drawing/2014/chart" uri="{C3380CC4-5D6E-409C-BE32-E72D297353CC}">
              <c16:uniqueId val="{00000000-3FD6-49A4-A783-16DAA4D9BFDF}"/>
            </c:ext>
          </c:extLst>
        </c:ser>
        <c:ser>
          <c:idx val="1"/>
          <c:order val="1"/>
          <c:tx>
            <c:strRef>
              <c:f>Sheet3!$C$3:$C$4</c:f>
              <c:strCache>
                <c:ptCount val="1"/>
                <c:pt idx="0">
                  <c:v>DOGE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5/1/2026</c:v>
                </c:pt>
                <c:pt idx="1">
                  <c:v>5/2/2026</c:v>
                </c:pt>
                <c:pt idx="2">
                  <c:v>5/3/2026</c:v>
                </c:pt>
                <c:pt idx="3">
                  <c:v>5/4/2026</c:v>
                </c:pt>
                <c:pt idx="4">
                  <c:v>5/5/2026</c:v>
                </c:pt>
              </c:strCache>
            </c:strRef>
          </c:cat>
          <c:val>
            <c:numRef>
              <c:f>Sheet3!$C$5:$C$10</c:f>
              <c:numCache>
                <c:formatCode>0%;\-0%;0%</c:formatCode>
                <c:ptCount val="5"/>
                <c:pt idx="0">
                  <c:v>0</c:v>
                </c:pt>
                <c:pt idx="1">
                  <c:v>0.86363636363636365</c:v>
                </c:pt>
                <c:pt idx="2">
                  <c:v>1.024390243902439</c:v>
                </c:pt>
                <c:pt idx="3">
                  <c:v>3.0967741935484869</c:v>
                </c:pt>
              </c:numCache>
            </c:numRef>
          </c:val>
          <c:smooth val="0"/>
          <c:extLst>
            <c:ext xmlns:c16="http://schemas.microsoft.com/office/drawing/2014/chart" uri="{C3380CC4-5D6E-409C-BE32-E72D297353CC}">
              <c16:uniqueId val="{00000001-3FD6-49A4-A783-16DAA4D9BFDF}"/>
            </c:ext>
          </c:extLst>
        </c:ser>
        <c:ser>
          <c:idx val="2"/>
          <c:order val="2"/>
          <c:tx>
            <c:strRef>
              <c:f>Sheet3!$D$3:$D$4</c:f>
              <c:strCache>
                <c:ptCount val="1"/>
                <c:pt idx="0">
                  <c:v>PEPE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5/1/2026</c:v>
                </c:pt>
                <c:pt idx="1">
                  <c:v>5/2/2026</c:v>
                </c:pt>
                <c:pt idx="2">
                  <c:v>5/3/2026</c:v>
                </c:pt>
                <c:pt idx="3">
                  <c:v>5/4/2026</c:v>
                </c:pt>
                <c:pt idx="4">
                  <c:v>5/5/2026</c:v>
                </c:pt>
              </c:strCache>
            </c:strRef>
          </c:cat>
          <c:val>
            <c:numRef>
              <c:f>Sheet3!$D$5:$D$10</c:f>
              <c:numCache>
                <c:formatCode>0%;\-0%;0%</c:formatCode>
                <c:ptCount val="5"/>
                <c:pt idx="0">
                  <c:v>0</c:v>
                </c:pt>
                <c:pt idx="1">
                  <c:v>0.9</c:v>
                </c:pt>
                <c:pt idx="2">
                  <c:v>1.263157894736842</c:v>
                </c:pt>
                <c:pt idx="3">
                  <c:v>3.4838709677417108</c:v>
                </c:pt>
                <c:pt idx="4">
                  <c:v>0.84210526315789469</c:v>
                </c:pt>
              </c:numCache>
            </c:numRef>
          </c:val>
          <c:smooth val="0"/>
          <c:extLst>
            <c:ext xmlns:c16="http://schemas.microsoft.com/office/drawing/2014/chart" uri="{C3380CC4-5D6E-409C-BE32-E72D297353CC}">
              <c16:uniqueId val="{00000002-3FD6-49A4-A783-16DAA4D9BFDF}"/>
            </c:ext>
          </c:extLst>
        </c:ser>
        <c:ser>
          <c:idx val="3"/>
          <c:order val="3"/>
          <c:tx>
            <c:strRef>
              <c:f>Sheet3!$E$3:$E$4</c:f>
              <c:strCache>
                <c:ptCount val="1"/>
                <c:pt idx="0">
                  <c:v>SOL</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5/1/2026</c:v>
                </c:pt>
                <c:pt idx="1">
                  <c:v>5/2/2026</c:v>
                </c:pt>
                <c:pt idx="2">
                  <c:v>5/3/2026</c:v>
                </c:pt>
                <c:pt idx="3">
                  <c:v>5/4/2026</c:v>
                </c:pt>
                <c:pt idx="4">
                  <c:v>5/5/2026</c:v>
                </c:pt>
              </c:strCache>
            </c:strRef>
          </c:cat>
          <c:val>
            <c:numRef>
              <c:f>Sheet3!$E$5:$E$10</c:f>
              <c:numCache>
                <c:formatCode>0%;\-0%;0%</c:formatCode>
                <c:ptCount val="5"/>
                <c:pt idx="0">
                  <c:v>0</c:v>
                </c:pt>
                <c:pt idx="1">
                  <c:v>0.90476190476190477</c:v>
                </c:pt>
                <c:pt idx="2">
                  <c:v>1.1000000000000001</c:v>
                </c:pt>
                <c:pt idx="3">
                  <c:v>2.3225806451612527</c:v>
                </c:pt>
              </c:numCache>
            </c:numRef>
          </c:val>
          <c:smooth val="0"/>
          <c:extLst>
            <c:ext xmlns:c16="http://schemas.microsoft.com/office/drawing/2014/chart" uri="{C3380CC4-5D6E-409C-BE32-E72D297353CC}">
              <c16:uniqueId val="{00000003-3FD6-49A4-A783-16DAA4D9BFDF}"/>
            </c:ext>
          </c:extLst>
        </c:ser>
        <c:dLbls>
          <c:dLblPos val="ctr"/>
          <c:showLegendKey val="0"/>
          <c:showVal val="1"/>
          <c:showCatName val="0"/>
          <c:showSerName val="0"/>
          <c:showPercent val="0"/>
          <c:showBubbleSize val="0"/>
        </c:dLbls>
        <c:marker val="1"/>
        <c:smooth val="0"/>
        <c:axId val="1087795520"/>
        <c:axId val="537783055"/>
      </c:lineChart>
      <c:catAx>
        <c:axId val="108779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3055"/>
        <c:crosses val="autoZero"/>
        <c:auto val="1"/>
        <c:lblAlgn val="ctr"/>
        <c:lblOffset val="100"/>
        <c:noMultiLvlLbl val="0"/>
      </c:catAx>
      <c:valAx>
        <c:axId val="537783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313269</xdr:colOff>
      <xdr:row>11</xdr:row>
      <xdr:rowOff>40137</xdr:rowOff>
    </xdr:from>
    <xdr:to>
      <xdr:col>6</xdr:col>
      <xdr:colOff>0</xdr:colOff>
      <xdr:row>22</xdr:row>
      <xdr:rowOff>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EE9A90D-6DCC-482A-A781-91E5AEC0CB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49401" y="2025348"/>
              <a:ext cx="1581704" cy="1945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742622</xdr:colOff>
      <xdr:row>11</xdr:row>
      <xdr:rowOff>36115</xdr:rowOff>
    </xdr:from>
    <xdr:to>
      <xdr:col>2</xdr:col>
      <xdr:colOff>0</xdr:colOff>
      <xdr:row>22</xdr:row>
      <xdr:rowOff>0</xdr:rowOff>
    </xdr:to>
    <mc:AlternateContent xmlns:mc="http://schemas.openxmlformats.org/markup-compatibility/2006" xmlns:a14="http://schemas.microsoft.com/office/drawing/2010/main">
      <mc:Choice Requires="a14">
        <xdr:graphicFrame macro="">
          <xdr:nvGraphicFramePr>
            <xdr:cNvPr id="3" name="Ticker">
              <a:extLst>
                <a:ext uri="{FF2B5EF4-FFF2-40B4-BE49-F238E27FC236}">
                  <a16:creationId xmlns:a16="http://schemas.microsoft.com/office/drawing/2014/main" id="{04FAEF6F-A6B9-CA76-55EE-B959C399ADDB}"/>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742622" y="2021326"/>
              <a:ext cx="1593510" cy="1949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22</xdr:row>
      <xdr:rowOff>175251</xdr:rowOff>
    </xdr:from>
    <xdr:to>
      <xdr:col>6</xdr:col>
      <xdr:colOff>0</xdr:colOff>
      <xdr:row>37</xdr:row>
      <xdr:rowOff>0</xdr:rowOff>
    </xdr:to>
    <xdr:graphicFrame macro="">
      <xdr:nvGraphicFramePr>
        <xdr:cNvPr id="5" name="Chart 4">
          <a:extLst>
            <a:ext uri="{FF2B5EF4-FFF2-40B4-BE49-F238E27FC236}">
              <a16:creationId xmlns:a16="http://schemas.microsoft.com/office/drawing/2014/main" id="{0833F823-BAEE-9FD1-1F8F-A0F6D5263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vice123" refreshedDate="46161.93110277778" backgroundQuery="1" createdVersion="8" refreshedVersion="8" minRefreshableVersion="3" recordCount="0" supportSubquery="1" supportAdvancedDrill="1" xr:uid="{599F8A1D-37E4-4B91-87B1-E6145FBD11B5}">
  <cacheSource type="external" connectionId="3"/>
  <cacheFields count="3">
    <cacheField name="[Calendar].[Date].[Date]" caption="Date" numFmtId="0" level="1">
      <sharedItems containsSemiMixedTypes="0" containsNonDate="0" containsDate="1" containsString="0" minDate="2026-05-01T00:00:00" maxDate="2026-05-06T00:00:00" count="5">
        <d v="2026-05-01T00:00:00"/>
        <d v="2026-05-02T00:00:00"/>
        <d v="2026-05-03T00:00:00"/>
        <d v="2026-05-04T00:00:00"/>
        <d v="2026-05-05T00:00:00"/>
      </sharedItems>
    </cacheField>
    <cacheField name="[raw_crypto_data].[Ticker].[Ticker]" caption="Ticker" numFmtId="0" hierarchy="9" level="1">
      <sharedItems count="4">
        <s v="BTC"/>
        <s v="DOGE"/>
        <s v="PEPE"/>
        <s v="SOL"/>
      </sharedItems>
    </cacheField>
    <cacheField name="[Measures].[Volume_Spike_Alert]" caption="Volume_Spike_Alert" numFmtId="0" hierarchy="17" level="32767"/>
  </cacheFields>
  <cacheHierarchies count="21">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raw_crypto_data].[Date]" caption="Date" attribute="1" time="1" defaultMemberUniqueName="[raw_crypto_data].[Date].[All]" allUniqueName="[raw_crypto_data].[Date].[All]" dimensionUniqueName="[raw_crypto_data]" displayFolder="" count="2" memberValueDatatype="7" unbalanced="0"/>
    <cacheHierarchy uniqueName="[raw_crypto_data].[Ticker]" caption="Ticker" attribute="1" defaultMemberUniqueName="[raw_crypto_data].[Ticker].[All]" allUniqueName="[raw_crypto_data].[Ticker].[All]" dimensionUniqueName="[raw_crypto_data]" displayFolder="" count="2" memberValueDatatype="130" unbalanced="0">
      <fieldsUsage count="2">
        <fieldUsage x="-1"/>
        <fieldUsage x="1"/>
      </fieldsUsage>
    </cacheHierarchy>
    <cacheHierarchy uniqueName="[raw_crypto_data].[Category]" caption="Category" attribute="1" defaultMemberUniqueName="[raw_crypto_data].[Category].[All]" allUniqueName="[raw_crypto_data].[Category].[All]" dimensionUniqueName="[raw_crypto_data]" displayFolder="" count="2" memberValueDatatype="130" unbalanced="0"/>
    <cacheHierarchy uniqueName="[raw_crypto_data].[Close_Price]" caption="Close_Price" attribute="1" defaultMemberUniqueName="[raw_crypto_data].[Close_Price].[All]" allUniqueName="[raw_crypto_data].[Close_Price].[All]" dimensionUniqueName="[raw_crypto_data]" displayFolder="" count="2" memberValueDatatype="6" unbalanced="0"/>
    <cacheHierarchy uniqueName="[raw_crypto_data].[Volume]" caption="Volume" attribute="1" defaultMemberUniqueName="[raw_crypto_data].[Volume].[All]" allUniqueName="[raw_crypto_data].[Volume].[All]" dimensionUniqueName="[raw_crypto_data]" displayFolder="" count="2" memberValueDatatype="6" unbalanced="0"/>
    <cacheHierarchy uniqueName="[raw_crypto_data].[Market_Cap]" caption="Market_Cap" attribute="1" defaultMemberUniqueName="[raw_crypto_data].[Market_Cap].[All]" allUniqueName="[raw_crypto_data].[Market_Cap].[All]" dimensionUniqueName="[raw_crypto_data]" displayFolder="" count="2" memberValueDatatype="6" unbalanced="0"/>
    <cacheHierarchy uniqueName="[raw_crypto_data].[Turnover_Rate]" caption="Turnover_Rate" attribute="1" defaultMemberUniqueName="[raw_crypto_data].[Turnover_Rate].[All]" allUniqueName="[raw_crypto_data].[Turnover_Rate].[All]" dimensionUniqueName="[raw_crypto_data]" displayFolder="" count="2" memberValueDatatype="5" unbalanced="0"/>
    <cacheHierarchy uniqueName="[Measures].[Total_Volume]" caption="Total_Volume" measure="1" displayFolder="" measureGroup="raw_crypto_data" count="0"/>
    <cacheHierarchy uniqueName="[Measures].[Vol_3Day_MovAver]" caption="Vol_3Day_MovAver" measure="1" displayFolder="" measureGroup="raw_crypto_data" count="0"/>
    <cacheHierarchy uniqueName="[Measures].[Volume_Spike_Alert]" caption="Volume_Spike_Alert" measure="1" displayFolder="" measureGroup="raw_crypto_data" count="0" oneField="1">
      <fieldsUsage count="1">
        <fieldUsage x="2"/>
      </fieldsUsage>
    </cacheHierarchy>
    <cacheHierarchy uniqueName="[Measures].[__XL_Count raw_crypto_data]" caption="__XL_Count raw_crypto_data" measure="1" displayFolder="" measureGroup="raw_crypto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raw_crypto_data" uniqueName="[raw_crypto_data]" caption="raw_crypto_data"/>
  </dimensions>
  <measureGroups count="2">
    <measureGroup name="Calendar" caption="Calendar"/>
    <measureGroup name="raw_crypto_data" caption="raw_crypto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vice123" refreshedDate="46161.931099421294" backgroundQuery="1" createdVersion="3" refreshedVersion="8" minRefreshableVersion="3" recordCount="0" supportSubquery="1" supportAdvancedDrill="1" xr:uid="{E83FD475-2978-4109-A4A7-039BD9CC0B05}">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raw_crypto_data].[Date]" caption="Date" attribute="1" time="1" defaultMemberUniqueName="[raw_crypto_data].[Date].[All]" allUniqueName="[raw_crypto_data].[Date].[All]" dimensionUniqueName="[raw_crypto_data]" displayFolder="" count="0" memberValueDatatype="7" unbalanced="0"/>
    <cacheHierarchy uniqueName="[raw_crypto_data].[Ticker]" caption="Ticker" attribute="1" defaultMemberUniqueName="[raw_crypto_data].[Ticker].[All]" allUniqueName="[raw_crypto_data].[Ticker].[All]" dimensionUniqueName="[raw_crypto_data]" displayFolder="" count="2" memberValueDatatype="130" unbalanced="0"/>
    <cacheHierarchy uniqueName="[raw_crypto_data].[Category]" caption="Category" attribute="1" defaultMemberUniqueName="[raw_crypto_data].[Category].[All]" allUniqueName="[raw_crypto_data].[Category].[All]" dimensionUniqueName="[raw_crypto_data]" displayFolder="" count="2" memberValueDatatype="130" unbalanced="0"/>
    <cacheHierarchy uniqueName="[raw_crypto_data].[Close_Price]" caption="Close_Price" attribute="1" defaultMemberUniqueName="[raw_crypto_data].[Close_Price].[All]" allUniqueName="[raw_crypto_data].[Close_Price].[All]" dimensionUniqueName="[raw_crypto_data]" displayFolder="" count="0" memberValueDatatype="6" unbalanced="0"/>
    <cacheHierarchy uniqueName="[raw_crypto_data].[Volume]" caption="Volume" attribute="1" defaultMemberUniqueName="[raw_crypto_data].[Volume].[All]" allUniqueName="[raw_crypto_data].[Volume].[All]" dimensionUniqueName="[raw_crypto_data]" displayFolder="" count="0" memberValueDatatype="6" unbalanced="0"/>
    <cacheHierarchy uniqueName="[raw_crypto_data].[Market_Cap]" caption="Market_Cap" attribute="1" defaultMemberUniqueName="[raw_crypto_data].[Market_Cap].[All]" allUniqueName="[raw_crypto_data].[Market_Cap].[All]" dimensionUniqueName="[raw_crypto_data]" displayFolder="" count="0" memberValueDatatype="6" unbalanced="0"/>
    <cacheHierarchy uniqueName="[raw_crypto_data].[Turnover_Rate]" caption="Turnover_Rate" attribute="1" defaultMemberUniqueName="[raw_crypto_data].[Turnover_Rate].[All]" allUniqueName="[raw_crypto_data].[Turnover_Rate].[All]" dimensionUniqueName="[raw_crypto_data]" displayFolder="" count="0" memberValueDatatype="5" unbalanced="0"/>
    <cacheHierarchy uniqueName="[Measures].[Total_Volume]" caption="Total_Volume" measure="1" displayFolder="" measureGroup="raw_crypto_data" count="0"/>
    <cacheHierarchy uniqueName="[Measures].[Vol_3Day_MovAver]" caption="Vol_3Day_MovAver" measure="1" displayFolder="" measureGroup="raw_crypto_data" count="0"/>
    <cacheHierarchy uniqueName="[Measures].[Volume_Spike_Alert]" caption="Volume_Spike_Alert" measure="1" displayFolder="" measureGroup="raw_crypto_data" count="0"/>
    <cacheHierarchy uniqueName="[Measures].[__XL_Count raw_crypto_data]" caption="__XL_Count raw_crypto_data" measure="1" displayFolder="" measureGroup="raw_crypto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123843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162EC-F8F3-42E5-A654-95541E0C77FF}" name="PivotTable1" cacheId="0" applyNumberFormats="0" applyBorderFormats="0" applyFontFormats="0" applyPatternFormats="0" applyAlignmentFormats="0" applyWidthHeightFormats="1" dataCaption="Values" tag="8df8de24-4342-421b-82d1-7c623947a6c2" updatedVersion="8" minRefreshableVersion="3" useAutoFormatting="1" itemPrintTitles="1" createdVersion="8" indent="0" outline="1" outlineData="1" multipleFieldFilters="0" chartFormat="19">
  <location ref="A3:F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6">
    <i>
      <x/>
    </i>
    <i>
      <x v="1"/>
    </i>
    <i>
      <x v="2"/>
    </i>
    <i>
      <x v="3"/>
    </i>
    <i>
      <x v="4"/>
    </i>
    <i t="grand">
      <x/>
    </i>
  </rowItems>
  <colFields count="1">
    <field x="1"/>
  </colFields>
  <colItems count="5">
    <i>
      <x/>
    </i>
    <i>
      <x v="1"/>
    </i>
    <i>
      <x v="2"/>
    </i>
    <i>
      <x v="3"/>
    </i>
    <i t="grand">
      <x/>
    </i>
  </colItems>
  <dataFields count="1">
    <dataField fld="2" subtotal="count"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s>
  <pivotHierarchies count="2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raw_crypto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BA10EF-A2A1-4111-B449-20008BCCAF49}" sourceName="[raw_crypto_data].[Category]">
  <pivotTables>
    <pivotTable tabId="3" name="PivotTable1"/>
  </pivotTables>
  <data>
    <olap pivotCacheId="1012384369">
      <levels count="2">
        <level uniqueName="[raw_crypto_data].[Category].[(All)]" sourceCaption="(All)" count="0"/>
        <level uniqueName="[raw_crypto_data].[Category].[Category]" sourceCaption="Category" count="2">
          <ranges>
            <range startItem="0">
              <i n="[raw_crypto_data].[Category].&amp;[Layer 1]" c="Layer 1"/>
              <i n="[raw_crypto_data].[Category].&amp;[Meme Coin]" c="Meme Coin"/>
            </range>
          </ranges>
        </level>
      </levels>
      <selections count="1">
        <selection n="[raw_crypto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6A6E1612-1060-489F-92FF-F449A9F12E7C}" sourceName="[raw_crypto_data].[Ticker]">
  <pivotTables>
    <pivotTable tabId="3" name="PivotTable1"/>
  </pivotTables>
  <data>
    <olap pivotCacheId="1012384369">
      <levels count="2">
        <level uniqueName="[raw_crypto_data].[Ticker].[(All)]" sourceCaption="(All)" count="0"/>
        <level uniqueName="[raw_crypto_data].[Ticker].[Ticker]" sourceCaption="Ticker" count="4">
          <ranges>
            <range startItem="0">
              <i n="[raw_crypto_data].[Ticker].&amp;[BTC]" c="BTC"/>
              <i n="[raw_crypto_data].[Ticker].&amp;[DOGE]" c="DOGE"/>
              <i n="[raw_crypto_data].[Ticker].&amp;[PEPE]" c="PEPE"/>
              <i n="[raw_crypto_data].[Ticker].&amp;[SOL]" c="SOL"/>
            </range>
          </ranges>
        </level>
      </levels>
      <selections count="1">
        <selection n="[raw_crypto_data].[Tick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2AD5D8D-E1B1-46D3-90DB-4E9071D3149B}" cache="Slicer_Category" caption="Category" level="1" rowHeight="234950"/>
  <slicer name="Ticker" xr10:uid="{860B44FA-BA75-47FA-8EE9-AC5E7503ED87}" cache="Slicer_Ticker" caption="Ticke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D2FBC-8393-4BC8-A9C8-D2C47B4D183C}" name="raw_crypto_data" displayName="raw_crypto_data" ref="A1:F19" totalsRowShown="0" headerRowDxfId="11" dataDxfId="9" headerRowBorderDxfId="10" tableBorderDxfId="8" totalsRowBorderDxfId="7">
  <autoFilter ref="A1:F19" xr:uid="{D7BD2FBC-8393-4BC8-A9C8-D2C47B4D183C}"/>
  <tableColumns count="6">
    <tableColumn id="1" xr3:uid="{709229B5-17C7-4996-B86B-98CBE2E20516}" name="Date" dataDxfId="6"/>
    <tableColumn id="2" xr3:uid="{84D518D9-F0FC-476F-842C-ED88AD331973}" name="Ticker" dataDxfId="5"/>
    <tableColumn id="3" xr3:uid="{A98BF97B-4D77-4C65-8074-1656D057C1B0}" name="Category" dataDxfId="4"/>
    <tableColumn id="4" xr3:uid="{FB5831D0-D75E-4D39-83BE-93EB668017F3}" name="Close_Price" dataDxfId="3"/>
    <tableColumn id="5" xr3:uid="{3369E00C-07A0-4ABE-B553-0F96263282C5}" name="Volume" dataDxfId="2"/>
    <tableColumn id="6" xr3:uid="{DDE8801D-D411-4623-BEF1-73873851846E}" name="Market_Cap"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D265-3E86-4535-913D-AD53BBA34947}">
  <dimension ref="A3:F10"/>
  <sheetViews>
    <sheetView tabSelected="1" zoomScale="76" zoomScaleNormal="175" workbookViewId="0">
      <selection activeCell="I14" sqref="I14"/>
    </sheetView>
  </sheetViews>
  <sheetFormatPr defaultRowHeight="14.4" x14ac:dyDescent="0.3"/>
  <cols>
    <col min="1" max="1" width="18.5546875" bestFit="1" customWidth="1"/>
    <col min="2" max="2" width="15.5546875" bestFit="1" customWidth="1"/>
    <col min="3" max="3" width="5.88671875" bestFit="1" customWidth="1"/>
    <col min="4" max="5" width="5.44140625" bestFit="1" customWidth="1"/>
    <col min="6" max="6" width="11" bestFit="1" customWidth="1"/>
    <col min="7" max="7" width="19" bestFit="1" customWidth="1"/>
    <col min="8" max="8" width="18.6640625" bestFit="1" customWidth="1"/>
    <col min="9" max="9" width="19" bestFit="1" customWidth="1"/>
    <col min="10" max="10" width="23.77734375" bestFit="1" customWidth="1"/>
    <col min="11" max="11" width="24.109375" bestFit="1" customWidth="1"/>
    <col min="12" max="13" width="5.44140625" bestFit="1" customWidth="1"/>
    <col min="14" max="14" width="18.44140625" bestFit="1" customWidth="1"/>
    <col min="15" max="15" width="23.33203125" bestFit="1" customWidth="1"/>
    <col min="16" max="16" width="24.109375" bestFit="1" customWidth="1"/>
  </cols>
  <sheetData>
    <row r="3" spans="1:6" x14ac:dyDescent="0.3">
      <c r="A3" s="12" t="s">
        <v>14</v>
      </c>
      <c r="B3" s="12" t="s">
        <v>15</v>
      </c>
    </row>
    <row r="4" spans="1:6" x14ac:dyDescent="0.3">
      <c r="A4" s="12" t="s">
        <v>12</v>
      </c>
      <c r="B4" t="s">
        <v>6</v>
      </c>
      <c r="C4" t="s">
        <v>11</v>
      </c>
      <c r="D4" t="s">
        <v>9</v>
      </c>
      <c r="E4" t="s">
        <v>8</v>
      </c>
      <c r="F4" t="s">
        <v>13</v>
      </c>
    </row>
    <row r="5" spans="1:6" x14ac:dyDescent="0.3">
      <c r="A5" s="13">
        <v>46143</v>
      </c>
      <c r="B5" s="15">
        <v>0</v>
      </c>
      <c r="C5" s="15">
        <v>0</v>
      </c>
      <c r="D5" s="15">
        <v>0</v>
      </c>
      <c r="E5" s="15">
        <v>0</v>
      </c>
      <c r="F5" s="15">
        <v>0</v>
      </c>
    </row>
    <row r="6" spans="1:6" x14ac:dyDescent="0.3">
      <c r="A6" s="13">
        <v>46144</v>
      </c>
      <c r="B6" s="15">
        <v>0.96</v>
      </c>
      <c r="C6" s="15">
        <v>0.86363636363636365</v>
      </c>
      <c r="D6" s="15">
        <v>0.9</v>
      </c>
      <c r="E6" s="15">
        <v>0.90476190476190477</v>
      </c>
      <c r="F6" s="15">
        <v>3.8048780487804876</v>
      </c>
    </row>
    <row r="7" spans="1:6" x14ac:dyDescent="0.3">
      <c r="A7" s="13">
        <v>46145</v>
      </c>
      <c r="B7" s="15">
        <v>1.0612244897959184</v>
      </c>
      <c r="C7" s="15">
        <v>1.024390243902439</v>
      </c>
      <c r="D7" s="15">
        <v>1.263157894736842</v>
      </c>
      <c r="E7" s="15">
        <v>1.1000000000000001</v>
      </c>
      <c r="F7" s="15">
        <v>4.2642857142857142</v>
      </c>
    </row>
    <row r="8" spans="1:6" x14ac:dyDescent="0.3">
      <c r="A8" s="13">
        <v>46146</v>
      </c>
      <c r="B8" s="15">
        <v>2.2000000000000002</v>
      </c>
      <c r="C8" s="15">
        <v>3.0967741935484869</v>
      </c>
      <c r="D8" s="15">
        <v>3.4838709677417108</v>
      </c>
      <c r="E8" s="15">
        <v>2.3225806451612527</v>
      </c>
      <c r="F8" s="15">
        <v>9.0576587070471337</v>
      </c>
    </row>
    <row r="9" spans="1:6" x14ac:dyDescent="0.3">
      <c r="A9" s="13">
        <v>46147</v>
      </c>
      <c r="B9" s="15">
        <v>0.8</v>
      </c>
      <c r="C9" s="15"/>
      <c r="D9" s="15">
        <v>0.84210526315789469</v>
      </c>
      <c r="E9" s="15"/>
      <c r="F9" s="15">
        <v>2.8339483394833946</v>
      </c>
    </row>
    <row r="10" spans="1:6" x14ac:dyDescent="0.3">
      <c r="A10" s="14" t="s">
        <v>13</v>
      </c>
      <c r="B10" s="15">
        <v>0</v>
      </c>
      <c r="C10" s="15">
        <v>0</v>
      </c>
      <c r="D10" s="15">
        <v>0</v>
      </c>
      <c r="E10" s="15">
        <v>0</v>
      </c>
      <c r="F10" s="15">
        <v>0</v>
      </c>
    </row>
  </sheetData>
  <conditionalFormatting sqref="A3">
    <cfRule type="cellIs" dxfId="0" priority="1" operator="greaterThan">
      <formula>2</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C0B1-9910-4E0D-961C-0899ECAC6AB9}">
  <dimension ref="A1:F19"/>
  <sheetViews>
    <sheetView workbookViewId="0">
      <selection activeCell="C3" sqref="C3"/>
    </sheetView>
  </sheetViews>
  <sheetFormatPr defaultRowHeight="14.4" x14ac:dyDescent="0.3"/>
  <cols>
    <col min="1" max="1" width="12.5546875" customWidth="1"/>
    <col min="2" max="2" width="10.21875" customWidth="1"/>
    <col min="3" max="3" width="25.33203125" customWidth="1"/>
    <col min="4" max="4" width="32.88671875" customWidth="1"/>
    <col min="5" max="5" width="33.33203125" customWidth="1"/>
    <col min="6" max="6" width="32.21875" style="3" customWidth="1"/>
  </cols>
  <sheetData>
    <row r="1" spans="1:6" ht="15" thickBot="1" x14ac:dyDescent="0.35">
      <c r="A1" s="6" t="s">
        <v>0</v>
      </c>
      <c r="B1" s="7" t="s">
        <v>1</v>
      </c>
      <c r="C1" s="7" t="s">
        <v>2</v>
      </c>
      <c r="D1" s="7" t="s">
        <v>3</v>
      </c>
      <c r="E1" s="7" t="s">
        <v>4</v>
      </c>
      <c r="F1" s="8" t="s">
        <v>5</v>
      </c>
    </row>
    <row r="2" spans="1:6" ht="15" thickBot="1" x14ac:dyDescent="0.35">
      <c r="A2" s="4">
        <v>46143</v>
      </c>
      <c r="B2" s="2" t="s">
        <v>6</v>
      </c>
      <c r="C2" s="2" t="s">
        <v>7</v>
      </c>
      <c r="D2" s="2">
        <v>65000</v>
      </c>
      <c r="E2" s="2">
        <v>25000000000</v>
      </c>
      <c r="F2" s="5">
        <v>1280000000000</v>
      </c>
    </row>
    <row r="3" spans="1:6" ht="15" thickBot="1" x14ac:dyDescent="0.35">
      <c r="A3" s="4">
        <v>46144</v>
      </c>
      <c r="B3" s="2" t="s">
        <v>6</v>
      </c>
      <c r="C3" s="2" t="s">
        <v>7</v>
      </c>
      <c r="D3" s="2">
        <v>65200</v>
      </c>
      <c r="E3" s="2">
        <v>24000000000</v>
      </c>
      <c r="F3" s="5">
        <v>1284000000000</v>
      </c>
    </row>
    <row r="4" spans="1:6" ht="15" thickBot="1" x14ac:dyDescent="0.35">
      <c r="A4" s="4">
        <v>46145</v>
      </c>
      <c r="B4" s="2" t="s">
        <v>6</v>
      </c>
      <c r="C4" s="2" t="s">
        <v>7</v>
      </c>
      <c r="D4" s="2">
        <v>64800</v>
      </c>
      <c r="E4" s="2">
        <v>26000000000</v>
      </c>
      <c r="F4" s="5">
        <v>1276000000000</v>
      </c>
    </row>
    <row r="5" spans="1:6" ht="15" thickBot="1" x14ac:dyDescent="0.35">
      <c r="A5" s="4">
        <v>46146</v>
      </c>
      <c r="B5" s="2" t="s">
        <v>6</v>
      </c>
      <c r="C5" s="2" t="s">
        <v>7</v>
      </c>
      <c r="D5" s="2">
        <v>66000</v>
      </c>
      <c r="E5" s="1">
        <v>55000000000</v>
      </c>
      <c r="F5" s="5">
        <v>1300000000000</v>
      </c>
    </row>
    <row r="6" spans="1:6" ht="15" thickBot="1" x14ac:dyDescent="0.35">
      <c r="A6" s="4">
        <v>46143</v>
      </c>
      <c r="B6" s="2" t="s">
        <v>8</v>
      </c>
      <c r="C6" s="2" t="s">
        <v>7</v>
      </c>
      <c r="D6" s="2">
        <v>145</v>
      </c>
      <c r="E6" s="2">
        <v>2100000000</v>
      </c>
      <c r="F6" s="5">
        <v>65000000000</v>
      </c>
    </row>
    <row r="7" spans="1:6" ht="15" thickBot="1" x14ac:dyDescent="0.35">
      <c r="A7" s="4">
        <v>46144</v>
      </c>
      <c r="B7" s="2" t="s">
        <v>8</v>
      </c>
      <c r="C7" s="2" t="s">
        <v>7</v>
      </c>
      <c r="D7" s="2">
        <v>142</v>
      </c>
      <c r="E7" s="2">
        <v>1900000000</v>
      </c>
      <c r="F7" s="5">
        <v>63800000000</v>
      </c>
    </row>
    <row r="8" spans="1:6" ht="15" thickBot="1" x14ac:dyDescent="0.35">
      <c r="A8" s="4">
        <v>46145</v>
      </c>
      <c r="B8" s="2" t="s">
        <v>8</v>
      </c>
      <c r="C8" s="2" t="s">
        <v>7</v>
      </c>
      <c r="D8" s="2">
        <v>148</v>
      </c>
      <c r="E8" s="2">
        <v>2200000000</v>
      </c>
      <c r="F8" s="5">
        <v>66500000000</v>
      </c>
    </row>
    <row r="9" spans="1:6" ht="15" thickBot="1" x14ac:dyDescent="0.35">
      <c r="A9" s="4">
        <v>46146</v>
      </c>
      <c r="B9" s="2" t="s">
        <v>8</v>
      </c>
      <c r="C9" s="2" t="s">
        <v>7</v>
      </c>
      <c r="D9" s="2">
        <v>155</v>
      </c>
      <c r="E9" s="1">
        <v>4800000000</v>
      </c>
      <c r="F9" s="5">
        <v>69800000000</v>
      </c>
    </row>
    <row r="10" spans="1:6" ht="15" thickBot="1" x14ac:dyDescent="0.35">
      <c r="A10" s="4">
        <v>46143</v>
      </c>
      <c r="B10" s="2" t="s">
        <v>9</v>
      </c>
      <c r="C10" s="2" t="s">
        <v>10</v>
      </c>
      <c r="D10" s="2">
        <v>8.4999999999999999E-6</v>
      </c>
      <c r="E10" s="2">
        <v>500000000</v>
      </c>
      <c r="F10" s="5">
        <v>3500000000</v>
      </c>
    </row>
    <row r="11" spans="1:6" ht="15" thickBot="1" x14ac:dyDescent="0.35">
      <c r="A11" s="4">
        <v>46144</v>
      </c>
      <c r="B11" s="2" t="s">
        <v>9</v>
      </c>
      <c r="C11" s="2" t="s">
        <v>10</v>
      </c>
      <c r="D11" s="2">
        <v>8.1999999999999994E-6</v>
      </c>
      <c r="E11" s="2">
        <v>450000000</v>
      </c>
      <c r="F11" s="5">
        <v>3380000000</v>
      </c>
    </row>
    <row r="12" spans="1:6" ht="15" thickBot="1" x14ac:dyDescent="0.35">
      <c r="A12" s="4">
        <v>46145</v>
      </c>
      <c r="B12" s="2" t="s">
        <v>9</v>
      </c>
      <c r="C12" s="2" t="s">
        <v>10</v>
      </c>
      <c r="D12" s="2">
        <v>8.8000000000000004E-6</v>
      </c>
      <c r="E12" s="2">
        <v>600000000</v>
      </c>
      <c r="F12" s="5">
        <v>3620000000</v>
      </c>
    </row>
    <row r="13" spans="1:6" ht="15" thickBot="1" x14ac:dyDescent="0.35">
      <c r="A13" s="4">
        <v>46146</v>
      </c>
      <c r="B13" s="2" t="s">
        <v>9</v>
      </c>
      <c r="C13" s="2" t="s">
        <v>10</v>
      </c>
      <c r="D13" s="2">
        <v>1.2E-5</v>
      </c>
      <c r="E13" s="1">
        <v>1800000000</v>
      </c>
      <c r="F13" s="5">
        <v>4900000000</v>
      </c>
    </row>
    <row r="14" spans="1:6" ht="15" thickBot="1" x14ac:dyDescent="0.35">
      <c r="A14" s="4">
        <v>46143</v>
      </c>
      <c r="B14" s="2" t="s">
        <v>11</v>
      </c>
      <c r="C14" s="2" t="s">
        <v>10</v>
      </c>
      <c r="D14" s="2">
        <v>0.14000000000000001</v>
      </c>
      <c r="E14" s="2">
        <v>1100000000</v>
      </c>
      <c r="F14" s="5">
        <v>20000000000</v>
      </c>
    </row>
    <row r="15" spans="1:6" ht="15" thickBot="1" x14ac:dyDescent="0.35">
      <c r="A15" s="4">
        <v>46144</v>
      </c>
      <c r="B15" s="2" t="s">
        <v>11</v>
      </c>
      <c r="C15" s="2" t="s">
        <v>10</v>
      </c>
      <c r="D15" s="2">
        <v>0.13</v>
      </c>
      <c r="E15" s="2">
        <v>950000000</v>
      </c>
      <c r="F15" s="5">
        <v>18500000000</v>
      </c>
    </row>
    <row r="16" spans="1:6" ht="15" thickBot="1" x14ac:dyDescent="0.35">
      <c r="A16" s="4">
        <v>46145</v>
      </c>
      <c r="B16" s="2" t="s">
        <v>11</v>
      </c>
      <c r="C16" s="2" t="s">
        <v>10</v>
      </c>
      <c r="D16" s="2">
        <v>0.14000000000000001</v>
      </c>
      <c r="E16" s="2">
        <v>1050000000</v>
      </c>
      <c r="F16" s="5">
        <v>20000000000</v>
      </c>
    </row>
    <row r="17" spans="1:6" ht="15" thickBot="1" x14ac:dyDescent="0.35">
      <c r="A17" s="4">
        <v>46146</v>
      </c>
      <c r="B17" s="2" t="s">
        <v>11</v>
      </c>
      <c r="C17" s="2" t="s">
        <v>10</v>
      </c>
      <c r="D17" s="2">
        <v>0.17</v>
      </c>
      <c r="E17" s="1">
        <v>3200000000</v>
      </c>
      <c r="F17" s="5">
        <v>24300000000</v>
      </c>
    </row>
    <row r="18" spans="1:6" ht="15" thickBot="1" x14ac:dyDescent="0.35">
      <c r="A18" s="4">
        <v>46147</v>
      </c>
      <c r="B18" s="2" t="s">
        <v>9</v>
      </c>
      <c r="C18" s="2" t="s">
        <v>10</v>
      </c>
      <c r="D18" s="2">
        <v>1.15E-5</v>
      </c>
      <c r="E18" s="2">
        <v>800000000</v>
      </c>
      <c r="F18" s="5">
        <v>4700000000</v>
      </c>
    </row>
    <row r="19" spans="1:6" x14ac:dyDescent="0.3">
      <c r="A19" s="9">
        <v>46147</v>
      </c>
      <c r="B19" s="10" t="s">
        <v>6</v>
      </c>
      <c r="C19" s="10" t="s">
        <v>7</v>
      </c>
      <c r="D19" s="10">
        <v>65800</v>
      </c>
      <c r="E19" s="10">
        <v>28000000000</v>
      </c>
      <c r="F19" s="11">
        <v>1295000000000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3F39810-068A-4A67-B093-54E48A38A241}">
  <ds:schemaRefs/>
</ds:datastoreItem>
</file>

<file path=customXml/itemProps2.xml><?xml version="1.0" encoding="utf-8"?>
<ds:datastoreItem xmlns:ds="http://schemas.openxmlformats.org/officeDocument/2006/customXml" ds:itemID="{1B719BB6-AE30-48ED-91E4-5B6482337BF7}">
  <ds:schemaRefs/>
</ds:datastoreItem>
</file>

<file path=customXml/itemProps3.xml><?xml version="1.0" encoding="utf-8"?>
<ds:datastoreItem xmlns:ds="http://schemas.openxmlformats.org/officeDocument/2006/customXml" ds:itemID="{E82FF9BB-49DA-4D1A-812C-E6E7BE6B79E0}">
  <ds:schemaRefs/>
</ds:datastoreItem>
</file>

<file path=customXml/itemProps4.xml><?xml version="1.0" encoding="utf-8"?>
<ds:datastoreItem xmlns:ds="http://schemas.openxmlformats.org/officeDocument/2006/customXml" ds:itemID="{B1257C33-81FE-42EC-88C2-FC7CCC82BB1A}">
  <ds:schemaRefs/>
</ds:datastoreItem>
</file>

<file path=customXml/itemProps5.xml><?xml version="1.0" encoding="utf-8"?>
<ds:datastoreItem xmlns:ds="http://schemas.openxmlformats.org/officeDocument/2006/customXml" ds:itemID="{5EA1B361-2D37-4C60-8FC6-617835E78BB4}">
  <ds:schemaRefs/>
</ds:datastoreItem>
</file>

<file path=customXml/itemProps6.xml><?xml version="1.0" encoding="utf-8"?>
<ds:datastoreItem xmlns:ds="http://schemas.openxmlformats.org/officeDocument/2006/customXml" ds:itemID="{220AD11B-E106-43FC-87F7-0458A2E4C00B}">
  <ds:schemaRefs/>
</ds:datastoreItem>
</file>

<file path=customXml/itemProps7.xml><?xml version="1.0" encoding="utf-8"?>
<ds:datastoreItem xmlns:ds="http://schemas.openxmlformats.org/officeDocument/2006/customXml" ds:itemID="{D61A9E0D-E306-4D02-8DA4-DF3B78892C1F}">
  <ds:schemaRefs/>
</ds:datastoreItem>
</file>

<file path=customXml/itemProps8.xml><?xml version="1.0" encoding="utf-8"?>
<ds:datastoreItem xmlns:ds="http://schemas.openxmlformats.org/officeDocument/2006/customXml" ds:itemID="{3B89246F-DBB1-48E8-B2D9-DEFE5EEF691C}">
  <ds:schemaRefs/>
</ds:datastoreItem>
</file>

<file path=customXml/itemProps9.xml><?xml version="1.0" encoding="utf-8"?>
<ds:datastoreItem xmlns:ds="http://schemas.openxmlformats.org/officeDocument/2006/customXml" ds:itemID="{CB5F0BB2-AFED-42EA-A04D-2867B35881E1}">
  <ds:schemaRefs/>
</ds:datastoreItem>
</file>

<file path=customXml/itemProps10.xml><?xml version="1.0" encoding="utf-8"?>
<ds:datastoreItem xmlns:ds="http://schemas.openxmlformats.org/officeDocument/2006/customXml" ds:itemID="{CE7C71DC-5E1C-4C24-80A6-B0E640E07E5E}">
  <ds:schemaRefs>
    <ds:schemaRef ds:uri="http://schemas.microsoft.com/DataMashup"/>
  </ds:schemaRefs>
</ds:datastoreItem>
</file>

<file path=customXml/itemProps11.xml><?xml version="1.0" encoding="utf-8"?>
<ds:datastoreItem xmlns:ds="http://schemas.openxmlformats.org/officeDocument/2006/customXml" ds:itemID="{ADEB8C24-E8DA-4F6E-A373-E45413B08835}">
  <ds:schemaRefs/>
</ds:datastoreItem>
</file>

<file path=customXml/itemProps12.xml><?xml version="1.0" encoding="utf-8"?>
<ds:datastoreItem xmlns:ds="http://schemas.openxmlformats.org/officeDocument/2006/customXml" ds:itemID="{514BC6C7-C265-4586-9863-6143254E33F9}">
  <ds:schemaRefs/>
</ds:datastoreItem>
</file>

<file path=customXml/itemProps13.xml><?xml version="1.0" encoding="utf-8"?>
<ds:datastoreItem xmlns:ds="http://schemas.openxmlformats.org/officeDocument/2006/customXml" ds:itemID="{0EED9A67-8751-4697-9E54-06432CB042D0}">
  <ds:schemaRefs/>
</ds:datastoreItem>
</file>

<file path=customXml/itemProps14.xml><?xml version="1.0" encoding="utf-8"?>
<ds:datastoreItem xmlns:ds="http://schemas.openxmlformats.org/officeDocument/2006/customXml" ds:itemID="{6BD8CABC-FAE1-4437-B3AF-E588B2470384}">
  <ds:schemaRefs/>
</ds:datastoreItem>
</file>

<file path=customXml/itemProps15.xml><?xml version="1.0" encoding="utf-8"?>
<ds:datastoreItem xmlns:ds="http://schemas.openxmlformats.org/officeDocument/2006/customXml" ds:itemID="{5AF19069-304C-49CF-AB1C-B7A5AC3314A4}">
  <ds:schemaRefs/>
</ds:datastoreItem>
</file>

<file path=customXml/itemProps16.xml><?xml version="1.0" encoding="utf-8"?>
<ds:datastoreItem xmlns:ds="http://schemas.openxmlformats.org/officeDocument/2006/customXml" ds:itemID="{692B7830-E22D-4257-A7DA-B2AE0178B6B9}">
  <ds:schemaRefs/>
</ds:datastoreItem>
</file>

<file path=customXml/itemProps17.xml><?xml version="1.0" encoding="utf-8"?>
<ds:datastoreItem xmlns:ds="http://schemas.openxmlformats.org/officeDocument/2006/customXml" ds:itemID="{6AADBBC7-2782-48C6-B63A-DA22D878BFC1}">
  <ds:schemaRefs/>
</ds:datastoreItem>
</file>

<file path=customXml/itemProps18.xml><?xml version="1.0" encoding="utf-8"?>
<ds:datastoreItem xmlns:ds="http://schemas.openxmlformats.org/officeDocument/2006/customXml" ds:itemID="{C3344518-41A6-4246-83C9-49FB4EA5708B}">
  <ds:schemaRefs/>
</ds:datastoreItem>
</file>

<file path=customXml/itemProps19.xml><?xml version="1.0" encoding="utf-8"?>
<ds:datastoreItem xmlns:ds="http://schemas.openxmlformats.org/officeDocument/2006/customXml" ds:itemID="{0F92E102-54DA-4A32-BB09-C0AD86B84A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antonis sarakas</dc:creator>
  <cp:lastModifiedBy>antonis sarakas</cp:lastModifiedBy>
  <dcterms:created xsi:type="dcterms:W3CDTF">2026-05-19T18:37:45Z</dcterms:created>
  <dcterms:modified xsi:type="dcterms:W3CDTF">2026-05-19T19:56:51Z</dcterms:modified>
</cp:coreProperties>
</file>